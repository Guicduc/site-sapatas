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a99f30641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bd4754e43744b1"/>
    <x:sheet xmlns:r="http://schemas.openxmlformats.org/officeDocument/2006/relationships" name="Families" sheetId="2" r:id="R00dd70aa714346c9"/>
    <x:sheet xmlns:r="http://schemas.openxmlformats.org/officeDocument/2006/relationships" name="Assumptions" sheetId="3" r:id="Ra80d585fd41248d5"/>
    <x:sheet xmlns:r="http://schemas.openxmlformats.org/officeDocument/2006/relationships" name="Sample Grid" sheetId="4" r:id="Raa92b7bab5e84bad"/>
    <x:sheet xmlns:r="http://schemas.openxmlformats.org/officeDocument/2006/relationships" name="Orca Results" sheetId="5" r:id="R008a740abe6c43b0"/>
    <x:sheet xmlns:r="http://schemas.openxmlformats.org/officeDocument/2006/relationships" name="Pricing" sheetId="6" r:id="R71036fe39c3c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43fc193c64f00" /><Relationship Type="http://schemas.openxmlformats.org/officeDocument/2006/relationships/theme" Target="/xl/theme/theme1.xml" Id="R79780400e6b14f80" /><Relationship Type="http://schemas.openxmlformats.org/officeDocument/2006/relationships/sharedStrings" Target="/xl/sharedStrings.xml" Id="R32af3ee27d834459" /><Relationship Type="http://schemas.openxmlformats.org/officeDocument/2006/relationships/worksheet" Target="/xl/worksheets/sheet1.xml" Id="R09bd4754e43744b1" /><Relationship Type="http://schemas.openxmlformats.org/officeDocument/2006/relationships/worksheet" Target="/xl/worksheets/sheet2.xml" Id="R00dd70aa714346c9" /><Relationship Type="http://schemas.openxmlformats.org/officeDocument/2006/relationships/worksheet" Target="/xl/worksheets/sheet3.xml" Id="Ra80d585fd41248d5" /><Relationship Type="http://schemas.openxmlformats.org/officeDocument/2006/relationships/worksheet" Target="/xl/worksheets/sheet4.xml" Id="Raa92b7bab5e84bad" /><Relationship Type="http://schemas.openxmlformats.org/officeDocument/2006/relationships/worksheet" Target="/xl/worksheets/sheet5.xml" Id="R008a740abe6c43b0" /><Relationship Type="http://schemas.openxmlformats.org/officeDocument/2006/relationships/worksheet" Target="/xl/worksheets/sheet6.xml" Id="R71036fe39c3c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84000015258789" hidden="0" customWidth="1"/>
    <x:col min="2" max="2" width="54.2400016784668" hidden="0" customWidth="1"/>
  </x:cols>
  <x:sheetData>
    <x:row r="1">
      <x:c r="A1" s="3" t="str">
        <x:v>Pricing Lab - Grasshopper + Orca</x:v>
      </x:c>
      <x:c r="B1" s="3"/>
      <x:c r="C1" s="3"/>
      <x:c r="D1" s="3"/>
      <x:c r="E1" s="3"/>
      <x:c r="F1" s="3"/>
    </x:row>
    <x:row r="2">
      <x:c r="A2" s="3" t="str">
        <x:v>Use este workbook para consolidar amostras, resultados de fatiamento e preco tecnico.</x:v>
      </x:c>
      <x:c r="B2" s="3"/>
      <x:c r="C2" s="3"/>
      <x:c r="D2" s="3"/>
      <x:c r="E2" s="3"/>
      <x:c r="F2" s="3"/>
    </x:row>
    <x:row r="4">
      <x:c r="A4" s="6" t="str">
        <x:v>Etapa</x:v>
      </x:c>
      <x:c r="B4" s="6" t="str">
        <x:v>Responsavel</x:v>
      </x:c>
    </x:row>
    <x:row r="5">
      <x:c r="A5" t="str">
        <x:v>1. Definir grid de medidas</x:v>
      </x:c>
      <x:c r="B5" t="str">
        <x:v>Sample Grid</x:v>
      </x:c>
    </x:row>
    <x:row r="6">
      <x:c r="A6" t="str">
        <x:v>2. Exportar STLs no Grasshopper</x:v>
      </x:c>
      <x:c r="B6" t="str">
        <x:v>stl/{familia}/</x:v>
      </x:c>
    </x:row>
    <x:row r="7">
      <x:c r="A7" t="str">
        <x:v>3. Fatiar no Orca</x:v>
      </x:c>
      <x:c r="B7" t="str">
        <x:v>gcode/{familia}/</x:v>
      </x:c>
    </x:row>
    <x:row r="8">
      <x:c r="A8" t="str">
        <x:v>4. Preencher tempo/material</x:v>
      </x:c>
      <x:c r="B8" t="str">
        <x:v>Orca Results</x:v>
      </x:c>
    </x:row>
    <x:row r="9">
      <x:c r="A9" t="str">
        <x:v>5. Revisar custo/preco</x:v>
      </x:c>
      <x:c r="B9" t="str">
        <x:v>Pricing</x:v>
      </x:c>
    </x:row>
    <x:row r="11">
      <x:c r="A11" s="6" t="str">
        <x:v>Decisao operacional</x:v>
      </x:c>
      <x:c r="B11" s="6" t="str">
        <x:v>Recomendacao</x:v>
      </x:c>
      <x:c r="C11" t="str"/>
      <x:c r="D11" t="str"/>
      <x:c r="E11" t="str"/>
      <x:c r="F11" t="str"/>
    </x:row>
    <x:row r="12">
      <x:c r="A12" t="str">
        <x:v>Site publico</x:v>
      </x:c>
      <x:c r="B12" t="str">
        <x:v>Usar tabela pre-fatiada/interpolada, nao fatiamento em tempo real.</x:v>
      </x:c>
      <x:c r="C12" t="str"/>
      <x:c r="D12" t="str"/>
      <x:c r="E12" t="str"/>
      <x:c r="F12" t="str"/>
    </x:row>
    <x:row r="13">
      <x:c r="A13" t="str">
        <x:v>Admin/operacao</x:v>
      </x:c>
      <x:c r="B13" t="str">
        <x:v>Opcional: usar fatiamento real so para conferencia de pedido.</x:v>
      </x:c>
      <x:c r="C13" t="str"/>
      <x:c r="D13" t="str"/>
      <x:c r="E13" t="str"/>
      <x:c r="F13" t="str"/>
    </x:row>
    <x:row r="14">
      <x:c r="A14" t="str">
        <x:v>Grasshopper</x:v>
      </x:c>
      <x:c r="B14" t="str">
        <x:v>Ler Sample Grid e exportar um STL por sample_id.</x:v>
      </x:c>
      <x:c r="C14" t="str"/>
      <x:c r="D14" t="str"/>
      <x:c r="E14" t="str"/>
      <x:c r="F1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29.8799991607666" hidden="0" customWidth="1"/>
    <x:col min="3" max="3" width="29.34000015258789" hidden="0" customWidth="1"/>
    <x:col min="4" max="4" width="13.59000015258789" hidden="0" customWidth="1"/>
    <x:col min="5" max="5" width="14.670000076293945" hidden="0" customWidth="1"/>
    <x:col min="6" max="6" width="6.460000038146973" hidden="0" customWidth="1"/>
    <x:col min="7" max="7" width="41.9900016784668" hidden="0" customWidth="1"/>
  </x:cols>
  <x:sheetData>
    <x:row r="1">
      <x:c r="A1" s="6" t="str">
        <x:v>family_slug</x:v>
      </x:c>
      <x:c r="B1" s="6" t="str">
        <x:v>family_name</x:v>
      </x:c>
      <x:c r="C1" s="6" t="str">
        <x:v>grasshopper_definition</x:v>
      </x:c>
      <x:c r="D1" s="6" t="str">
        <x:v>default_material</x:v>
      </x:c>
      <x:c r="E1" s="6" t="str">
        <x:v>default_profile_id</x:v>
      </x:c>
      <x:c r="F1" s="6" t="str">
        <x:v>status</x:v>
      </x:c>
      <x:c r="G1" s="6" t="str">
        <x:v>notes</x:v>
      </x:c>
    </x:row>
    <x:row r="2">
      <x:c r="A2" t="str">
        <x:v>ponteira-interna-tubo-redondo</x:v>
      </x:c>
      <x:c r="B2" t="str">
        <x:v>Ponteira interna para tubo redondo</x:v>
      </x:c>
      <x:c r="C2" t="str">
        <x:v>cad/families/tube_round_pressfit.gh</x:v>
      </x:c>
      <x:c r="D2" t="str">
        <x:v>TPU</x:v>
      </x:c>
      <x:c r="E2" t="str">
        <x:v>tpu-default</x:v>
      </x:c>
      <x:c r="F2" t="str">
        <x:v>active</x:v>
      </x:c>
      <x:c r="G2" t="str">
        <x:v>Primeira familia automatizada no contrato CAD atual</x:v>
      </x:c>
    </x:row>
    <x:row r="3">
      <x:c r="A3" t="str">
        <x:v>ponteira-interna-tubo-retangular</x:v>
      </x:c>
      <x:c r="B3" t="str">
        <x:v>Ponteira interna para tubo retangular</x:v>
      </x:c>
      <x:c r="C3" t="str">
        <x:v>cad/families/tube_rect_pressfit.gh</x:v>
      </x:c>
      <x:c r="D3" t="str">
        <x:v>TPU</x:v>
      </x:c>
      <x:c r="E3" t="str">
        <x:v>tpu-default</x:v>
      </x:c>
      <x:c r="F3" t="str">
        <x:v>planned</x:v>
      </x:c>
      <x:c r="G3" t="str">
        <x:v>Adicionar quando a definicao GH estiver pronta</x:v>
      </x:c>
    </x:row>
    <x:row r="4">
      <x:c r="A4" t="str">
        <x:v>sapata-base-lisa-redonda</x:v>
      </x:c>
      <x:c r="B4" t="str">
        <x:v>Sapata para base lisa redonda</x:v>
      </x:c>
      <x:c r="C4" t="str">
        <x:v>cad/families/base_round.gh</x:v>
      </x:c>
      <x:c r="D4" t="str">
        <x:v>TPU</x:v>
      </x:c>
      <x:c r="E4" t="str">
        <x:v>tpu-default</x:v>
      </x:c>
      <x:c r="F4" t="str">
        <x:v>planned</x:v>
      </x:c>
      <x:c r="G4" t="str">
        <x:v>Usar como segunda familia de calibracao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4.309999942779541" hidden="0" customWidth="1"/>
    <x:col min="3" max="3" width="10.630000114440918" hidden="0" customWidth="1"/>
    <x:col min="4" max="4" width="43.7400016784668" hidden="0" customWidth="1"/>
  </x:cols>
  <x:sheetData>
    <x:row r="1">
      <x:c r="A1" s="6" t="str">
        <x:v>assumption_key</x:v>
      </x:c>
      <x:c r="B1" s="6" t="str">
        <x:v>value</x:v>
      </x:c>
      <x:c r="C1" s="6" t="str">
        <x:v>unit</x:v>
      </x:c>
      <x:c r="D1" s="6" t="str">
        <x:v>notes</x:v>
      </x:c>
    </x:row>
    <x:row r="2">
      <x:c r="A2" t="str">
        <x:v>tpu_filament_brl_per_kg</x:v>
      </x:c>
      <x:c r="B2" t="str">
        <x:v>180</x:v>
      </x:c>
      <x:c r="C2" t="str">
        <x:v>BRL/kg</x:v>
      </x:c>
      <x:c r="D2" t="str">
        <x:v>Custo do rolo de TPU</x:v>
      </x:c>
    </x:row>
    <x:row r="3">
      <x:c r="A3" t="str">
        <x:v>print_waste_rate</x:v>
      </x:c>
      <x:c r="B3" t="str">
        <x:v>0.12</x:v>
      </x:c>
      <x:c r="C3" t="str">
        <x:v>rate</x:v>
      </x:c>
      <x:c r="D3" t="str">
        <x:v>Perda tecnica para purga falha e margem de seguranca</x:v>
      </x:c>
    </x:row>
    <x:row r="4">
      <x:c r="A4" t="str">
        <x:v>machine_cost_brl_per_hour</x:v>
      </x:c>
      <x:c r="B4" t="str">
        <x:v>2.8</x:v>
      </x:c>
      <x:c r="C4" t="str">
        <x:v>BRL/hora</x:v>
      </x:c>
      <x:c r="D4" t="str">
        <x:v>Depreciacao e manutencao da impressora</x:v>
      </x:c>
    </x:row>
    <x:row r="5">
      <x:c r="A5" t="str">
        <x:v>energy_cost_brl_per_hour</x:v>
      </x:c>
      <x:c r="B5" t="str">
        <x:v>0.25</x:v>
      </x:c>
      <x:c r="C5" t="str">
        <x:v>BRL/hora</x:v>
      </x:c>
      <x:c r="D5" t="str">
        <x:v>Energia por hora de impressao</x:v>
      </x:c>
    </x:row>
    <x:row r="6">
      <x:c r="A6" t="str">
        <x:v>operator_cost_brl_per_hour</x:v>
      </x:c>
      <x:c r="B6" t="str">
        <x:v>18</x:v>
      </x:c>
      <x:c r="C6" t="str">
        <x:v>BRL/hora</x:v>
      </x:c>
      <x:c r="D6" t="str">
        <x:v>Tempo humano operacional</x:v>
      </x:c>
    </x:row>
    <x:row r="7">
      <x:c r="A7" t="str">
        <x:v>operator_minutes_per_order</x:v>
      </x:c>
      <x:c r="B7" t="str">
        <x:v>12</x:v>
      </x:c>
      <x:c r="C7" t="str">
        <x:v>minutos</x:v>
      </x:c>
      <x:c r="D7" t="str">
        <x:v>Preparacao conferencia remocao e registro</x:v>
      </x:c>
    </x:row>
    <x:row r="8">
      <x:c r="A8" t="str">
        <x:v>packaging_brl_per_order</x:v>
      </x:c>
      <x:c r="B8" t="str">
        <x:v>2</x:v>
      </x:c>
      <x:c r="C8" t="str">
        <x:v>BRL</x:v>
      </x:c>
      <x:c r="D8" t="str">
        <x:v>Embalagem media por pedido</x:v>
      </x:c>
    </x:row>
    <x:row r="9">
      <x:c r="A9" t="str">
        <x:v>channel_fee_rate</x:v>
      </x:c>
      <x:c r="B9" t="str">
        <x:v>0.06</x:v>
      </x:c>
      <x:c r="C9" t="str">
        <x:v>rate</x:v>
      </x:c>
      <x:c r="D9" t="str">
        <x:v>Taxa media de canal/pagamento</x:v>
      </x:c>
    </x:row>
    <x:row r="10">
      <x:c r="A10" t="str">
        <x:v>markup</x:v>
      </x:c>
      <x:c r="B10" t="str">
        <x:v>2.3</x:v>
      </x:c>
      <x:c r="C10" t="str">
        <x:v>multiplicador</x:v>
      </x:c>
      <x:c r="D10" t="str">
        <x:v>Margem comercial alvo sobre custo direto</x:v>
      </x:c>
    </x:row>
    <x:row r="11">
      <x:c r="A11" t="str">
        <x:v>min_order_price_brl</x:v>
      </x:c>
      <x:c r="B11" t="str">
        <x:v>19.9</x:v>
      </x:c>
      <x:c r="C11" t="str">
        <x:v>BRL</x:v>
      </x:c>
      <x:c r="D11" t="str">
        <x:v>Preco minimo comercial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0.860000610351562" hidden="0" customWidth="1"/>
    <x:col min="3" max="3" width="18.709999084472656" hidden="0" customWidth="1"/>
    <x:col min="4" max="4" width="16.420000076293945" hidden="0" customWidth="1"/>
    <x:col min="5" max="5" width="23.149999618530273" hidden="0" customWidth="1"/>
    <x:col min="6" max="6" width="14.539999961853027" hidden="0" customWidth="1"/>
    <x:col min="7" max="7" width="6.860000133514404" hidden="0" customWidth="1"/>
    <x:col min="8" max="8" width="50.20000076293945" hidden="0" customWidth="1"/>
    <x:col min="9" max="9" width="18.170000076293945" hidden="0" customWidth="1"/>
  </x:cols>
  <x:sheetData>
    <x:row r="1">
      <x:c r="A1" s="6" t="str">
        <x:v>family_slug</x:v>
      </x:c>
      <x:c r="B1" s="6" t="str">
        <x:v>sample_id</x:v>
      </x:c>
      <x:c r="C1" s="6" t="str">
        <x:v>diametro_interno_mm</x:v>
      </x:c>
      <x:c r="D1" s="6" t="str">
        <x:v>diametro_base_mm</x:v>
      </x:c>
      <x:c r="E1" s="6" t="str">
        <x:v>profundidade_insercao_mm</x:v>
      </x:c>
      <x:c r="F1" s="6" t="str">
        <x:v>altura_apoio_mm</x:v>
      </x:c>
      <x:c r="G1" s="6" t="str">
        <x:v>quantity</x:v>
      </x:c>
      <x:c r="H1" s="6" t="str">
        <x:v>stl_file</x:v>
      </x:c>
      <x:c r="I1" s="6" t="str">
        <x:v>notes</x:v>
      </x:c>
    </x:row>
    <x:row r="2">
      <x:c r="A2" t="str">
        <x:v>ponteira-interna-tubo-redondo</x:v>
      </x:c>
      <x:c r="B2" t="str">
        <x:v>RD-PI-DI18-DB24-P14-A6</x:v>
      </x:c>
      <x:c r="C2" t="str">
        <x:v>18</x:v>
      </x:c>
      <x:c r="D2" t="str">
        <x:v>24</x:v>
      </x:c>
      <x:c r="E2" t="str">
        <x:v>14</x:v>
      </x:c>
      <x:c r="F2" t="str">
        <x:v>6</x:v>
      </x:c>
      <x:c r="G2" t="str">
        <x:v>1</x:v>
      </x:c>
      <x:c r="H2" t="str">
        <x:v>ponteira-interna-tubo-redondo__RD-PI-DI18-DB24-P14-A6.stl</x:v>
      </x:c>
      <x:c r="I2" t="str">
        <x:v>Amostra pequena</x:v>
      </x:c>
    </x:row>
    <x:row r="3">
      <x:c r="A3" t="str">
        <x:v>ponteira-interna-tubo-redondo</x:v>
      </x:c>
      <x:c r="B3" t="str">
        <x:v>RD-PI-DI22-DB28-P18-A8</x:v>
      </x:c>
      <x:c r="C3" t="str">
        <x:v>22</x:v>
      </x:c>
      <x:c r="D3" t="str">
        <x:v>28</x:v>
      </x:c>
      <x:c r="E3" t="str">
        <x:v>18</x:v>
      </x:c>
      <x:c r="F3" t="str">
        <x:v>8</x:v>
      </x:c>
      <x:c r="G3" t="str">
        <x:v>1</x:v>
      </x:c>
      <x:c r="H3" t="str">
        <x:v>ponteira-interna-tubo-redondo__RD-PI-DI22-DB28-P18-A8.stl</x:v>
      </x:c>
      <x:c r="I3" t="str">
        <x:v>Amostra media padrao</x:v>
      </x:c>
    </x:row>
    <x:row r="4">
      <x:c r="A4" t="str">
        <x:v>ponteira-interna-tubo-redondo</x:v>
      </x:c>
      <x:c r="B4" t="str">
        <x:v>RD-PI-DI26-DB34-P22-A10</x:v>
      </x:c>
      <x:c r="C4" t="str">
        <x:v>26</x:v>
      </x:c>
      <x:c r="D4" t="str">
        <x:v>34</x:v>
      </x:c>
      <x:c r="E4" t="str">
        <x:v>22</x:v>
      </x:c>
      <x:c r="F4" t="str">
        <x:v>10</x:v>
      </x:c>
      <x:c r="G4" t="str">
        <x:v>1</x:v>
      </x:c>
      <x:c r="H4" t="str">
        <x:v>ponteira-interna-tubo-redondo__RD-PI-DI26-DB34-P22-A10.stl</x:v>
      </x:c>
      <x:c r="I4" t="str">
        <x:v>Amostra grande</x:v>
      </x:c>
    </x:row>
    <x:row r="5">
      <x:c r="A5" t="str">
        <x:v>ponteira-interna-tubo-redondo</x:v>
      </x:c>
      <x:c r="B5" t="str">
        <x:v>RD-PI-DI30-DB40-P26-A12</x:v>
      </x:c>
      <x:c r="C5" t="str">
        <x:v>30</x:v>
      </x:c>
      <x:c r="D5" t="str">
        <x:v>40</x:v>
      </x:c>
      <x:c r="E5" t="str">
        <x:v>26</x:v>
      </x:c>
      <x:c r="F5" t="str">
        <x:v>12</x:v>
      </x:c>
      <x:c r="G5" t="str">
        <x:v>1</x:v>
      </x:c>
      <x:c r="H5" t="str">
        <x:v>ponteira-interna-tubo-redondo__RD-PI-DI30-DB40-P26-A12.stl</x:v>
      </x:c>
      <x:c r="I5" t="str">
        <x:v>Limite superior inicial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0.860000610351562" hidden="0" customWidth="1"/>
    <x:col min="3" max="3" width="8.880000114440918" hidden="0" customWidth="1"/>
    <x:col min="4" max="4" width="50.20000076293945" hidden="0" customWidth="1"/>
    <x:col min="5" max="5" width="8.34000015258789" hidden="0" customWidth="1"/>
    <x:col min="6" max="6" width="12.789999961853027" hidden="0" customWidth="1"/>
    <x:col min="7" max="7" width="11.569999694824219" hidden="0" customWidth="1"/>
    <x:col min="8" max="8" width="10.359999656677246" hidden="0" customWidth="1"/>
    <x:col min="9" max="9" width="7.130000114440918" hidden="0" customWidth="1"/>
    <x:col min="10" max="10" width="17.09000015258789" hidden="0" customWidth="1"/>
  </x:cols>
  <x:sheetData>
    <x:row r="1">
      <x:c r="A1" s="6" t="str">
        <x:v>family_slug</x:v>
      </x:c>
      <x:c r="B1" s="6" t="str">
        <x:v>sample_id</x:v>
      </x:c>
      <x:c r="C1" s="6" t="str">
        <x:v>profile_id</x:v>
      </x:c>
      <x:c r="D1" s="6" t="str">
        <x:v>stl_file</x:v>
      </x:c>
      <x:c r="E1" s="6" t="str">
        <x:v>gcode_file</x:v>
      </x:c>
      <x:c r="F1" s="6" t="str">
        <x:v>material_grams</x:v>
      </x:c>
      <x:c r="G1" s="6" t="str">
        <x:v>print_minutes</x:v>
      </x:c>
      <x:c r="H1" s="6" t="str">
        <x:v>orca_version</x:v>
      </x:c>
      <x:c r="I1" s="6" t="str">
        <x:v>sliced_at</x:v>
      </x:c>
      <x:c r="J1" s="6" t="str">
        <x:v>notes</x:v>
      </x:c>
    </x:row>
    <x:row r="2">
      <x:c r="A2" t="str">
        <x:v>ponteira-interna-tubo-redondo</x:v>
      </x:c>
      <x:c r="B2" t="str">
        <x:v>RD-PI-DI18-DB24-P14-A6</x:v>
      </x:c>
      <x:c r="C2" t="str">
        <x:v>tpu-default</x:v>
      </x:c>
      <x:c r="D2" t="str">
        <x:v>ponteira-interna-tubo-redondo__RD-PI-DI18-DB24-P14-A6.stl</x:v>
      </x:c>
      <x:c r="E2" t="str"/>
      <x:c r="F2" t="str"/>
      <x:c r="G2" t="str"/>
      <x:c r="H2" t="str"/>
      <x:c r="I2" t="str"/>
      <x:c r="J2" t="str">
        <x:v>Preencher apos fatiar</x:v>
      </x:c>
    </x:row>
    <x:row r="3">
      <x:c r="A3" t="str">
        <x:v>ponteira-interna-tubo-redondo</x:v>
      </x:c>
      <x:c r="B3" t="str">
        <x:v>RD-PI-DI22-DB28-P18-A8</x:v>
      </x:c>
      <x:c r="C3" t="str">
        <x:v>tpu-default</x:v>
      </x:c>
      <x:c r="D3" t="str">
        <x:v>ponteira-interna-tubo-redondo__RD-PI-DI22-DB28-P18-A8.stl</x:v>
      </x:c>
      <x:c r="E3" t="str"/>
      <x:c r="F3" t="str"/>
      <x:c r="G3" t="str"/>
      <x:c r="H3" t="str"/>
      <x:c r="I3" t="str"/>
      <x:c r="J3" t="str">
        <x:v>Preencher apos fatiar</x:v>
      </x:c>
    </x:row>
    <x:row r="4">
      <x:c r="A4" t="str">
        <x:v>ponteira-interna-tubo-redondo</x:v>
      </x:c>
      <x:c r="B4" t="str">
        <x:v>RD-PI-DI26-DB34-P22-A10</x:v>
      </x:c>
      <x:c r="C4" t="str">
        <x:v>tpu-default</x:v>
      </x:c>
      <x:c r="D4" t="str">
        <x:v>ponteira-interna-tubo-redondo__RD-PI-DI26-DB34-P22-A10.stl</x:v>
      </x:c>
      <x:c r="E4" t="str"/>
      <x:c r="F4" t="str"/>
      <x:c r="G4" t="str"/>
      <x:c r="H4" t="str"/>
      <x:c r="I4" t="str"/>
      <x:c r="J4" t="str">
        <x:v>Preencher apos fatiar</x:v>
      </x:c>
    </x:row>
    <x:row r="5">
      <x:c r="A5" t="str">
        <x:v>ponteira-interna-tubo-redondo</x:v>
      </x:c>
      <x:c r="B5" t="str">
        <x:v>RD-PI-DI30-DB40-P26-A12</x:v>
      </x:c>
      <x:c r="C5" t="str">
        <x:v>tpu-default</x:v>
      </x:c>
      <x:c r="D5" t="str">
        <x:v>ponteira-interna-tubo-redondo__RD-PI-DI30-DB40-P26-A12.stl</x:v>
      </x:c>
      <x:c r="E5" t="str"/>
      <x:c r="F5" t="str"/>
      <x:c r="G5" t="str"/>
      <x:c r="H5" t="str"/>
      <x:c r="I5" t="str"/>
      <x:c r="J5" t="str">
        <x:v>Preencher apos fatiar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0.860000610351562" hidden="0" customWidth="1"/>
    <x:col min="3" max="3" width="12.789999961853027" hidden="0" customWidth="1"/>
    <x:col min="4" max="4" width="11.569999694824219" hidden="0" customWidth="1"/>
    <x:col min="5" max="5" width="14.399999618530273" hidden="0" customWidth="1"/>
    <x:col min="6" max="6" width="14.539999961853027" hidden="0" customWidth="1"/>
    <x:col min="7" max="7" width="13.0600004196167" hidden="0" customWidth="1"/>
    <x:col min="8" max="8" width="14.670000076293945" hidden="0" customWidth="1"/>
    <x:col min="9" max="9" width="11.3100004196167" hidden="0" customWidth="1"/>
    <x:col min="10" max="10" width="12.25" hidden="0" customWidth="1"/>
    <x:col min="11" max="11" width="13.1899995803833" hidden="0" customWidth="1"/>
    <x:col min="12" max="12" width="16.420000076293945" hidden="0" customWidth="1"/>
    <x:col min="13" max="13" width="4.440000057220459" hidden="0" customWidth="1"/>
  </x:cols>
  <x:sheetData>
    <x:row r="1">
      <x:c r="A1" s="6" t="str">
        <x:v>family_slug</x:v>
      </x:c>
      <x:c r="B1" s="6" t="str">
        <x:v>sample_id</x:v>
      </x:c>
      <x:c r="C1" s="6" t="str">
        <x:v>material_grams</x:v>
      </x:c>
      <x:c r="D1" s="6" t="str">
        <x:v>print_minutes</x:v>
      </x:c>
      <x:c r="E1" s="6" t="str">
        <x:v>material_cost_brl</x:v>
      </x:c>
      <x:c r="F1" s="6" t="str">
        <x:v>machine_cost_brl</x:v>
      </x:c>
      <x:c r="G1" s="6" t="str">
        <x:v>energy_cost_brl</x:v>
      </x:c>
      <x:c r="H1" s="6" t="str">
        <x:v>operator_cost_brl</x:v>
      </x:c>
      <x:c r="I1" s="6" t="str">
        <x:v>packaging_brl</x:v>
      </x:c>
      <x:c r="J1" s="6" t="str">
        <x:v>direct_cost_brl</x:v>
      </x:c>
      <x:c r="K1" s="6" t="str">
        <x:v>channel_fee_brl</x:v>
      </x:c>
      <x:c r="L1" s="6" t="str">
        <x:v>suggested_price_brl</x:v>
      </x:c>
      <x:c r="M1" s="6" t="str">
        <x:v>notes</x:v>
      </x:c>
    </x:row>
    <x:row r="2">
      <x:c r="A2" t="str">
        <x:f>'Orca Results'!A2</x:f>
        <x:v>ponteira-interna-tubo-redondo</x:v>
      </x:c>
      <x:c r="B2" t="str">
        <x:f>'Orca Results'!B2</x:f>
        <x:v>RD-PI-DI18-DB24-P14-A6</x:v>
      </x:c>
      <x:c r="C2" t="str">
        <x:f>IF('Orca Results'!F2="","",'Orca Results'!F2)</x:f>
      </x:c>
      <x:c r="D2" t="str">
        <x:f>IF('Orca Results'!G2="","",'Orca Results'!G2)</x:f>
      </x:c>
      <x:c r="E2" s="7" t="str">
        <x:f>IF(C2="","",C2*(1+XLOOKUP("print_waste_rate",Assumptions!A:A,Assumptions!B:B))*XLOOKUP("tpu_filament_brl_per_kg",Assumptions!A:A,Assumptions!B:B)/1000)</x:f>
      </x:c>
      <x:c r="F2" s="7" t="str">
        <x:f>IF(D2="","",D2/60*XLOOKUP("machine_cost_brl_per_hour",Assumptions!A:A,Assumptions!B:B))</x:f>
      </x:c>
      <x:c r="G2" s="7" t="str">
        <x:f>IF(D2="","",D2/60*XLOOKUP("energy_cost_brl_per_hour",Assumptions!A:A,Assumptions!B:B))</x:f>
      </x:c>
      <x:c r="H2" s="7" t="str">
        <x:f>IF(D2="","",XLOOKUP("operator_minutes_per_order",Assumptions!A:A,Assumptions!B:B)/60*XLOOKUP("operator_cost_brl_per_hour",Assumptions!A:A,Assumptions!B:B))</x:f>
      </x:c>
      <x:c r="I2" s="7" t="str">
        <x:f>IF(D2="","",XLOOKUP("packaging_brl_per_order",Assumptions!A:A,Assumptions!B:B))</x:f>
      </x:c>
      <x:c r="J2" s="7" t="str">
        <x:f>IF(D2="","",SUM(E2:I2))</x:f>
      </x:c>
      <x:c r="K2" s="7" t="str">
        <x:f>IF(D2="","",J2*XLOOKUP("markup",Assumptions!A:A,Assumptions!B:B)*XLOOKUP("channel_fee_rate",Assumptions!A:A,Assumptions!B:B))</x:f>
      </x:c>
      <x:c r="L2" s="7" t="str">
        <x:f>IF(D2="","",MAX(XLOOKUP("min_order_price_brl",Assumptions!A:A,Assumptions!B:B),J2*XLOOKUP("markup",Assumptions!A:A,Assumptions!B:B)+K2))</x:f>
      </x:c>
    </x:row>
    <x:row r="3">
      <x:c r="A3" t="str">
        <x:f>'Orca Results'!A3</x:f>
        <x:v>ponteira-interna-tubo-redondo</x:v>
      </x:c>
      <x:c r="B3" t="str">
        <x:f>'Orca Results'!B3</x:f>
        <x:v>RD-PI-DI22-DB28-P18-A8</x:v>
      </x:c>
      <x:c r="C3" t="str">
        <x:f>IF('Orca Results'!F3="","",'Orca Results'!F3)</x:f>
      </x:c>
      <x:c r="D3" t="str">
        <x:f>IF('Orca Results'!G3="","",'Orca Results'!G3)</x:f>
      </x:c>
      <x:c r="E3" s="7" t="str">
        <x:f>IF(C3="","",C3*(1+XLOOKUP("print_waste_rate",Assumptions!A:A,Assumptions!B:B))*XLOOKUP("tpu_filament_brl_per_kg",Assumptions!A:A,Assumptions!B:B)/1000)</x:f>
      </x:c>
      <x:c r="F3" s="7" t="str">
        <x:f>IF(D3="","",D3/60*XLOOKUP("machine_cost_brl_per_hour",Assumptions!A:A,Assumptions!B:B))</x:f>
      </x:c>
      <x:c r="G3" s="7" t="str">
        <x:f>IF(D3="","",D3/60*XLOOKUP("energy_cost_brl_per_hour",Assumptions!A:A,Assumptions!B:B))</x:f>
      </x:c>
      <x:c r="H3" s="7" t="str">
        <x:f>IF(D3="","",XLOOKUP("operator_minutes_per_order",Assumptions!A:A,Assumptions!B:B)/60*XLOOKUP("operator_cost_brl_per_hour",Assumptions!A:A,Assumptions!B:B))</x:f>
      </x:c>
      <x:c r="I3" s="7" t="str">
        <x:f>IF(D3="","",XLOOKUP("packaging_brl_per_order",Assumptions!A:A,Assumptions!B:B))</x:f>
      </x:c>
      <x:c r="J3" s="7" t="str">
        <x:f>IF(D3="","",SUM(E3:I3))</x:f>
      </x:c>
      <x:c r="K3" s="7" t="str">
        <x:f>IF(D3="","",J3*XLOOKUP("markup",Assumptions!A:A,Assumptions!B:B)*XLOOKUP("channel_fee_rate",Assumptions!A:A,Assumptions!B:B))</x:f>
      </x:c>
      <x:c r="L3" s="7" t="str">
        <x:f>IF(D3="","",MAX(XLOOKUP("min_order_price_brl",Assumptions!A:A,Assumptions!B:B),J3*XLOOKUP("markup",Assumptions!A:A,Assumptions!B:B)+K3))</x:f>
      </x:c>
    </x:row>
    <x:row r="4">
      <x:c r="A4" t="str">
        <x:f>'Orca Results'!A4</x:f>
        <x:v>ponteira-interna-tubo-redondo</x:v>
      </x:c>
      <x:c r="B4" t="str">
        <x:f>'Orca Results'!B4</x:f>
        <x:v>RD-PI-DI26-DB34-P22-A10</x:v>
      </x:c>
      <x:c r="C4" t="str">
        <x:f>IF('Orca Results'!F4="","",'Orca Results'!F4)</x:f>
      </x:c>
      <x:c r="D4" t="str">
        <x:f>IF('Orca Results'!G4="","",'Orca Results'!G4)</x:f>
      </x:c>
      <x:c r="E4" s="7" t="str">
        <x:f>IF(C4="","",C4*(1+XLOOKUP("print_waste_rate",Assumptions!A:A,Assumptions!B:B))*XLOOKUP("tpu_filament_brl_per_kg",Assumptions!A:A,Assumptions!B:B)/1000)</x:f>
      </x:c>
      <x:c r="F4" s="7" t="str">
        <x:f>IF(D4="","",D4/60*XLOOKUP("machine_cost_brl_per_hour",Assumptions!A:A,Assumptions!B:B))</x:f>
      </x:c>
      <x:c r="G4" s="7" t="str">
        <x:f>IF(D4="","",D4/60*XLOOKUP("energy_cost_brl_per_hour",Assumptions!A:A,Assumptions!B:B))</x:f>
      </x:c>
      <x:c r="H4" s="7" t="str">
        <x:f>IF(D4="","",XLOOKUP("operator_minutes_per_order",Assumptions!A:A,Assumptions!B:B)/60*XLOOKUP("operator_cost_brl_per_hour",Assumptions!A:A,Assumptions!B:B))</x:f>
      </x:c>
      <x:c r="I4" s="7" t="str">
        <x:f>IF(D4="","",XLOOKUP("packaging_brl_per_order",Assumptions!A:A,Assumptions!B:B))</x:f>
      </x:c>
      <x:c r="J4" s="7" t="str">
        <x:f>IF(D4="","",SUM(E4:I4))</x:f>
      </x:c>
      <x:c r="K4" s="7" t="str">
        <x:f>IF(D4="","",J4*XLOOKUP("markup",Assumptions!A:A,Assumptions!B:B)*XLOOKUP("channel_fee_rate",Assumptions!A:A,Assumptions!B:B))</x:f>
      </x:c>
      <x:c r="L4" s="7" t="str">
        <x:f>IF(D4="","",MAX(XLOOKUP("min_order_price_brl",Assumptions!A:A,Assumptions!B:B),J4*XLOOKUP("markup",Assumptions!A:A,Assumptions!B:B)+K4))</x:f>
      </x:c>
    </x:row>
    <x:row r="5">
      <x:c r="A5" t="str">
        <x:f>'Orca Results'!A5</x:f>
        <x:v>ponteira-interna-tubo-redondo</x:v>
      </x:c>
      <x:c r="B5" t="str">
        <x:f>'Orca Results'!B5</x:f>
        <x:v>RD-PI-DI30-DB40-P26-A12</x:v>
      </x:c>
      <x:c r="C5" t="str">
        <x:f>IF('Orca Results'!F5="","",'Orca Results'!F5)</x:f>
      </x:c>
      <x:c r="D5" t="str">
        <x:f>IF('Orca Results'!G5="","",'Orca Results'!G5)</x:f>
      </x:c>
      <x:c r="E5" s="7" t="str">
        <x:f>IF(C5="","",C5*(1+XLOOKUP("print_waste_rate",Assumptions!A:A,Assumptions!B:B))*XLOOKUP("tpu_filament_brl_per_kg",Assumptions!A:A,Assumptions!B:B)/1000)</x:f>
      </x:c>
      <x:c r="F5" s="7" t="str">
        <x:f>IF(D5="","",D5/60*XLOOKUP("machine_cost_brl_per_hour",Assumptions!A:A,Assumptions!B:B))</x:f>
      </x:c>
      <x:c r="G5" s="7" t="str">
        <x:f>IF(D5="","",D5/60*XLOOKUP("energy_cost_brl_per_hour",Assumptions!A:A,Assumptions!B:B))</x:f>
      </x:c>
      <x:c r="H5" s="7" t="str">
        <x:f>IF(D5="","",XLOOKUP("operator_minutes_per_order",Assumptions!A:A,Assumptions!B:B)/60*XLOOKUP("operator_cost_brl_per_hour",Assumptions!A:A,Assumptions!B:B))</x:f>
      </x:c>
      <x:c r="I5" s="7" t="str">
        <x:f>IF(D5="","",XLOOKUP("packaging_brl_per_order",Assumptions!A:A,Assumptions!B:B))</x:f>
      </x:c>
      <x:c r="J5" s="7" t="str">
        <x:f>IF(D5="","",SUM(E5:I5))</x:f>
      </x:c>
      <x:c r="K5" s="7" t="str">
        <x:f>IF(D5="","",J5*XLOOKUP("markup",Assumptions!A:A,Assumptions!B:B)*XLOOKUP("channel_fee_rate",Assumptions!A:A,Assumptions!B:B))</x:f>
      </x:c>
      <x:c r="L5" s="7" t="str">
        <x:f>IF(D5="","",MAX(XLOOKUP("min_order_price_brl",Assumptions!A:A,Assumptions!B:B),J5*XLOOKUP("markup",Assumptions!A:A,Assumptions!B:B)+K5))</x:f>
      </x:c>
    </x:row>
  </x:sheetData>
  <x:pageMargins left="0.7" right="0.7" top="0.75" bottom="0.75" header="0.3" footer="0.3"/>
</x:worksheet>
</file>